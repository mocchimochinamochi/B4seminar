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nshuuniversity-my.sharepoint.com/personal/22t2114e_shinshu-u_ac_jp/Documents/"/>
    </mc:Choice>
  </mc:AlternateContent>
  <xr:revisionPtr revIDLastSave="207" documentId="8_{1265898F-B8E3-4A12-9F36-C219E2117E7E}" xr6:coauthVersionLast="47" xr6:coauthVersionMax="47" xr10:uidLastSave="{685B59D0-FE53-4E08-9908-C3F400D50176}"/>
  <bookViews>
    <workbookView xWindow="-110" yWindow="-110" windowWidth="21820" windowHeight="13900" xr2:uid="{B49E538D-2752-4613-AA6B-90E437A46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M30" i="1"/>
  <c r="M13" i="1"/>
  <c r="O5" i="1"/>
  <c r="L13" i="1"/>
  <c r="M5" i="1"/>
  <c r="S8" i="1"/>
  <c r="S7" i="1"/>
  <c r="S6" i="1"/>
  <c r="S5" i="1"/>
  <c r="Q7" i="1"/>
  <c r="Q5" i="1"/>
  <c r="O8" i="1"/>
  <c r="O7" i="1"/>
  <c r="O6" i="1"/>
  <c r="M8" i="1"/>
  <c r="M7" i="1"/>
  <c r="M6" i="1"/>
</calcChain>
</file>

<file path=xl/sharedStrings.xml><?xml version="1.0" encoding="utf-8"?>
<sst xmlns="http://schemas.openxmlformats.org/spreadsheetml/2006/main" count="65" uniqueCount="44">
  <si>
    <t>平均値</t>
  </si>
  <si>
    <t>標準偏差</t>
  </si>
  <si>
    <t>1. AIは人間らしい振る舞いをする</t>
  </si>
  <si>
    <t>2. AIは生き物のように反応する</t>
  </si>
  <si>
    <t>3. AIは利用しやすい</t>
  </si>
  <si>
    <t>4. AIはタスクをうまく行う</t>
  </si>
  <si>
    <t>5. AIは好感が持てる</t>
  </si>
  <si>
    <t>6. AIは社会に馴染むことができる</t>
  </si>
  <si>
    <t>7. AIには独自の個性がある</t>
  </si>
  <si>
    <t>11. AIとのやりとりは注意を引く</t>
  </si>
  <si>
    <t>12. AIは信頼できる</t>
  </si>
  <si>
    <t>13. AIと協力してタスクを行うことができた</t>
  </si>
  <si>
    <t>14. AIは気を配っている</t>
  </si>
  <si>
    <t>15. AIの言動は合理的である</t>
  </si>
  <si>
    <t>16. AIの言動には意図がある</t>
  </si>
  <si>
    <t>17. AIとのやりとりを好意的に受け止めている</t>
  </si>
  <si>
    <t>18. AIは社会的な存在感がある</t>
  </si>
  <si>
    <t>20. AIには感情がある</t>
  </si>
  <si>
    <t>19. 多くの人はAIを使うことをこの勧めると思う</t>
    <rPh sb="4" eb="5">
      <t>オオ</t>
    </rPh>
    <phoneticPr fontId="3"/>
  </si>
  <si>
    <t>8.将来またこのAIを利用したいと思う</t>
    <phoneticPr fontId="3"/>
  </si>
  <si>
    <t>質問項目</t>
    <rPh sb="0" eb="4">
      <t>シツモンコウモク</t>
    </rPh>
    <phoneticPr fontId="3"/>
  </si>
  <si>
    <t>ItoI_name</t>
    <phoneticPr fontId="3"/>
  </si>
  <si>
    <t>ItoI_noname</t>
    <phoneticPr fontId="3"/>
  </si>
  <si>
    <t>ItoE_name</t>
    <phoneticPr fontId="3"/>
  </si>
  <si>
    <t>ItoE_noname</t>
    <phoneticPr fontId="3"/>
  </si>
  <si>
    <t>平均値</t>
    <phoneticPr fontId="3"/>
  </si>
  <si>
    <t>平均・標準偏差</t>
    <rPh sb="0" eb="2">
      <t>ヘイキン</t>
    </rPh>
    <rPh sb="3" eb="5">
      <t>ヒョウジュン</t>
    </rPh>
    <rPh sb="5" eb="7">
      <t>ヘンサ</t>
    </rPh>
    <phoneticPr fontId="3"/>
  </si>
  <si>
    <t>人格が切り替わったタイミング</t>
    <rPh sb="0" eb="2">
      <t>ジンカク</t>
    </rPh>
    <rPh sb="3" eb="4">
      <t>キ</t>
    </rPh>
    <rPh sb="5" eb="6">
      <t>カ</t>
    </rPh>
    <phoneticPr fontId="3"/>
  </si>
  <si>
    <t>AIの性格は変わっていない</t>
    <rPh sb="3" eb="5">
      <t>セイカク</t>
    </rPh>
    <rPh sb="6" eb="7">
      <t>カ</t>
    </rPh>
    <phoneticPr fontId="3"/>
  </si>
  <si>
    <t>AIの性格はチャットを新規作成した際に変わった</t>
    <phoneticPr fontId="3"/>
  </si>
  <si>
    <t>AIの性格はチャットを新規作成後のチャットの途中に変わった</t>
    <phoneticPr fontId="3"/>
  </si>
  <si>
    <t>回答人数</t>
    <rPh sb="0" eb="2">
      <t>カイトウ</t>
    </rPh>
    <rPh sb="2" eb="3">
      <t>ニン</t>
    </rPh>
    <rPh sb="3" eb="4">
      <t>スウ</t>
    </rPh>
    <phoneticPr fontId="3"/>
  </si>
  <si>
    <t>合計</t>
    <rPh sb="0" eb="2">
      <t>ゴウケイ</t>
    </rPh>
    <phoneticPr fontId="3"/>
  </si>
  <si>
    <t>AIの性格は初めのチャットの途中で変わった</t>
    <phoneticPr fontId="3"/>
  </si>
  <si>
    <t>名乗りなし</t>
    <rPh sb="0" eb="2">
      <t>ナノ</t>
    </rPh>
    <phoneticPr fontId="3"/>
  </si>
  <si>
    <t>名乗りあり</t>
    <rPh sb="0" eb="2">
      <t>ナノ</t>
    </rPh>
    <phoneticPr fontId="3"/>
  </si>
  <si>
    <t>いずれかのタイミングで人格が変わった</t>
    <rPh sb="11" eb="13">
      <t>ジンカク</t>
    </rPh>
    <rPh sb="14" eb="15">
      <t>カ</t>
    </rPh>
    <phoneticPr fontId="3"/>
  </si>
  <si>
    <t>10. AIの言動は見ていて楽しい</t>
    <phoneticPr fontId="3"/>
  </si>
  <si>
    <t>人格固定</t>
    <rPh sb="0" eb="2">
      <t>ジンカク</t>
    </rPh>
    <rPh sb="2" eb="4">
      <t>コテイ</t>
    </rPh>
    <phoneticPr fontId="3"/>
  </si>
  <si>
    <t>人格切り替え</t>
    <rPh sb="0" eb="2">
      <t>ジンカク</t>
    </rPh>
    <rPh sb="2" eb="3">
      <t>キ</t>
    </rPh>
    <rPh sb="4" eb="5">
      <t>カ</t>
    </rPh>
    <phoneticPr fontId="3"/>
  </si>
  <si>
    <t>あり</t>
    <phoneticPr fontId="3"/>
  </si>
  <si>
    <t>なし</t>
    <phoneticPr fontId="3"/>
  </si>
  <si>
    <t>回答割合</t>
    <rPh sb="0" eb="4">
      <t>カイトウワリア</t>
    </rPh>
    <phoneticPr fontId="3"/>
  </si>
  <si>
    <t>回答割合</t>
    <rPh sb="0" eb="4">
      <t>カイトウワリアイ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</si>
</sst>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0" xfId="0" applyFo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0" fillId="0" borderId="2" xfId="0" applyBorder="1">
      <alignment vertical="center"/>
    </xf>
    <xf numFmtId="0" fontId="2" fillId="0" borderId="2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right" vertical="top" wrapText="1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Fill="1" applyBorder="1">
      <alignment vertical="center"/>
    </xf>
    <xf numFmtId="0" fontId="0" fillId="0" borderId="3" xfId="0" applyBorder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Sheet1!$K$13</c:f>
              <c:strCache>
                <c:ptCount val="1"/>
                <c:pt idx="0">
                  <c:v>AIの性格は変わっていない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17-4D93-B9C6-2CB5187ABDCA}"/>
              </c:ext>
            </c:extLst>
          </c:dPt>
          <c:cat>
            <c:strRef>
              <c:f>Sheet1!$L$12:$M$12</c:f>
              <c:strCache>
                <c:ptCount val="2"/>
                <c:pt idx="0">
                  <c:v>名乗りあり</c:v>
                </c:pt>
                <c:pt idx="1">
                  <c:v>名乗りなし</c:v>
                </c:pt>
              </c:strCache>
            </c:strRef>
          </c:cat>
          <c:val>
            <c:numRef>
              <c:f>Sheet1!$L$13:$M$13</c:f>
              <c:numCache>
                <c:formatCode>General</c:formatCode>
                <c:ptCount val="2"/>
                <c:pt idx="0">
                  <c:v>0.95918367346938771</c:v>
                </c:pt>
                <c:pt idx="1">
                  <c:v>0.78947368421052633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7-4D93-B9C6-2CB5187A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314933344"/>
        <c:axId val="1314933704"/>
      </c:barChart>
      <c:catAx>
        <c:axId val="131493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4933704"/>
        <c:crosses val="autoZero"/>
        <c:auto val="1"/>
        <c:lblAlgn val="ctr"/>
        <c:lblOffset val="100"/>
        <c:noMultiLvlLbl val="0"/>
      </c:catAx>
      <c:valAx>
        <c:axId val="1314933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493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Sheet1!$K$30</c:f>
              <c:strCache>
                <c:ptCount val="1"/>
                <c:pt idx="0">
                  <c:v>いずれかのタイミングで人格が変わった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91-44C6-8312-ADE82CFC2CE3}"/>
              </c:ext>
            </c:extLst>
          </c:dPt>
          <c:cat>
            <c:strRef>
              <c:f>Sheet1!$L$29:$M$29</c:f>
              <c:strCache>
                <c:ptCount val="2"/>
                <c:pt idx="0">
                  <c:v>名乗りあり</c:v>
                </c:pt>
                <c:pt idx="1">
                  <c:v>名乗りなし</c:v>
                </c:pt>
              </c:strCache>
            </c:strRef>
          </c:cat>
          <c:val>
            <c:numRef>
              <c:f>Sheet1!$L$30:$M$30</c:f>
              <c:numCache>
                <c:formatCode>General</c:formatCode>
                <c:ptCount val="2"/>
                <c:pt idx="0">
                  <c:v>0.625</c:v>
                </c:pt>
                <c:pt idx="1">
                  <c:v>0.54761904761904767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1-44C6-8312-ADE82CFC2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966257408"/>
        <c:axId val="966257768"/>
      </c:barChart>
      <c:catAx>
        <c:axId val="966257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6257768"/>
        <c:crosses val="autoZero"/>
        <c:auto val="1"/>
        <c:lblAlgn val="ctr"/>
        <c:lblOffset val="100"/>
        <c:noMultiLvlLbl val="0"/>
      </c:catAx>
      <c:valAx>
        <c:axId val="9662577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625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Sheet1!$K$44:$L$44</c:f>
              <c:strCache>
                <c:ptCount val="2"/>
                <c:pt idx="1">
                  <c:v>人格固定</c:v>
                </c:pt>
              </c:strCache>
            </c:strRef>
          </c:cat>
          <c:val>
            <c:numRef>
              <c:f>Sheet1!$K$49:$L$49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AA2-A463-9CB09318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996416"/>
        <c:axId val="1309006856"/>
      </c:lineChart>
      <c:catAx>
        <c:axId val="1308996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9006856"/>
        <c:crosses val="autoZero"/>
        <c:auto val="1"/>
        <c:lblAlgn val="ctr"/>
        <c:lblOffset val="100"/>
        <c:noMultiLvlLbl val="0"/>
      </c:catAx>
      <c:valAx>
        <c:axId val="1309006856"/>
        <c:scaling>
          <c:orientation val="minMax"/>
          <c:max val="6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899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alpha val="9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Sheet1!$L$54:$M$54</c:f>
              <c:strCache>
                <c:ptCount val="2"/>
                <c:pt idx="0">
                  <c:v>人格固定</c:v>
                </c:pt>
                <c:pt idx="1">
                  <c:v>人格切り替え</c:v>
                </c:pt>
              </c:strCache>
            </c:strRef>
          </c:cat>
          <c:val>
            <c:numRef>
              <c:f>Sheet1!$L$55:$M$55</c:f>
              <c:numCache>
                <c:formatCode>General</c:formatCode>
                <c:ptCount val="2"/>
                <c:pt idx="0">
                  <c:v>4.82</c:v>
                </c:pt>
                <c:pt idx="1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A-4586-B0A0-528A5F0C5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994256"/>
        <c:axId val="1308995336"/>
      </c:lineChart>
      <c:catAx>
        <c:axId val="1308994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8995336"/>
        <c:crosses val="autoZero"/>
        <c:auto val="1"/>
        <c:lblAlgn val="ctr"/>
        <c:lblOffset val="100"/>
        <c:noMultiLvlLbl val="0"/>
      </c:catAx>
      <c:valAx>
        <c:axId val="1308995336"/>
        <c:scaling>
          <c:orientation val="minMax"/>
          <c:max val="6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8994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Sheet1!$L$59:$M$59</c:f>
              <c:strCache>
                <c:ptCount val="2"/>
                <c:pt idx="0">
                  <c:v>あり</c:v>
                </c:pt>
                <c:pt idx="1">
                  <c:v>なし</c:v>
                </c:pt>
              </c:strCache>
            </c:strRef>
          </c:cat>
          <c:val>
            <c:numRef>
              <c:f>Sheet1!$L$60:$M$60</c:f>
              <c:numCache>
                <c:formatCode>General</c:formatCode>
                <c:ptCount val="2"/>
                <c:pt idx="0">
                  <c:v>4.22</c:v>
                </c:pt>
                <c:pt idx="1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2-4F6F-ACF4-C9CC8748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413144"/>
        <c:axId val="1120414224"/>
      </c:lineChart>
      <c:catAx>
        <c:axId val="1120413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0414224"/>
        <c:crosses val="autoZero"/>
        <c:auto val="1"/>
        <c:lblAlgn val="ctr"/>
        <c:lblOffset val="100"/>
        <c:noMultiLvlLbl val="0"/>
      </c:catAx>
      <c:valAx>
        <c:axId val="1120414224"/>
        <c:scaling>
          <c:orientation val="minMax"/>
          <c:max val="7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04131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Sheet1!$L$62:$M$62</c:f>
              <c:strCache>
                <c:ptCount val="2"/>
                <c:pt idx="0">
                  <c:v>あり</c:v>
                </c:pt>
                <c:pt idx="1">
                  <c:v>なし</c:v>
                </c:pt>
              </c:strCache>
            </c:strRef>
          </c:cat>
          <c:val>
            <c:numRef>
              <c:f>Sheet1!$L$63:$M$63</c:f>
              <c:numCache>
                <c:formatCode>General</c:formatCode>
                <c:ptCount val="2"/>
                <c:pt idx="0">
                  <c:v>2.04</c:v>
                </c:pt>
                <c:pt idx="1">
                  <c:v>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8-4526-9DD5-9D834B39E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0502168"/>
        <c:axId val="1900506488"/>
      </c:lineChart>
      <c:catAx>
        <c:axId val="190050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0506488"/>
        <c:crosses val="autoZero"/>
        <c:auto val="1"/>
        <c:lblAlgn val="ctr"/>
        <c:lblOffset val="100"/>
        <c:noMultiLvlLbl val="0"/>
      </c:catAx>
      <c:valAx>
        <c:axId val="1900506488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0502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267163</xdr:colOff>
      <xdr:row>15</xdr:row>
      <xdr:rowOff>45803</xdr:rowOff>
    </xdr:from>
    <xdr:to>
      <xdr:col>12</xdr:col>
      <xdr:colOff>237409</xdr:colOff>
      <xdr:row>26</xdr:row>
      <xdr:rowOff>98532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03F484A-C368-EA0E-4DE4-7D9BABE97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287675</xdr:colOff>
      <xdr:row>30</xdr:row>
      <xdr:rowOff>177415</xdr:rowOff>
    </xdr:from>
    <xdr:to>
      <xdr:col>11</xdr:col>
      <xdr:colOff>886114</xdr:colOff>
      <xdr:row>41</xdr:row>
      <xdr:rowOff>226676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FA41B29-A25E-14F1-ABEE-80871BD1C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173754</xdr:colOff>
      <xdr:row>40</xdr:row>
      <xdr:rowOff>83317</xdr:rowOff>
    </xdr:from>
    <xdr:to>
      <xdr:col>20</xdr:col>
      <xdr:colOff>105369</xdr:colOff>
      <xdr:row>52</xdr:row>
      <xdr:rowOff>63220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DC98A0C-DAA5-BD71-ED29-C0F092221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885511</xdr:colOff>
      <xdr:row>45</xdr:row>
      <xdr:rowOff>27494</xdr:rowOff>
    </xdr:from>
    <xdr:to>
      <xdr:col>12</xdr:col>
      <xdr:colOff>544984</xdr:colOff>
      <xdr:row>57</xdr:row>
      <xdr:rowOff>7397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6C1832D-92E1-2DF4-57E0-51562EBFA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452873</xdr:colOff>
      <xdr:row>51</xdr:row>
      <xdr:rowOff>118207</xdr:rowOff>
    </xdr:from>
    <xdr:to>
      <xdr:col>10</xdr:col>
      <xdr:colOff>3699049</xdr:colOff>
      <xdr:row>63</xdr:row>
      <xdr:rowOff>98110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E282FC2-C3A3-DDFD-0DC3-15FFBA96A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864577</xdr:colOff>
      <xdr:row>57</xdr:row>
      <xdr:rowOff>6560</xdr:rowOff>
    </xdr:from>
    <xdr:to>
      <xdr:col>12</xdr:col>
      <xdr:colOff>524050</xdr:colOff>
      <xdr:row>68</xdr:row>
      <xdr:rowOff>216738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968D34E-41A1-48A6-5840-5A3A0B861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E30E-C4F1-411B-9482-A5D03E37B40A}">
  <dimension ref="A2:S63"/>
  <sheetViews>
    <sheetView tabSelected="1" zoomScale="50" workbookViewId="0">
      <selection activeCell="S5" sqref="S5"/>
    </sheetView>
  </sheetViews>
  <sheetFormatPr defaultRowHeight="18" x14ac:dyDescent="0.55000000000000004"/>
  <cols>
    <col min="1" max="1" width="42" customWidth="1"/>
    <col min="11" max="11" width="52.08203125" customWidth="1"/>
    <col min="12" max="13" width="12.33203125" bestFit="1" customWidth="1"/>
  </cols>
  <sheetData>
    <row r="2" spans="1:19" ht="18.5" thickBot="1" x14ac:dyDescent="0.6">
      <c r="A2" s="8" t="s">
        <v>26</v>
      </c>
      <c r="B2" s="8"/>
      <c r="C2" s="8"/>
      <c r="D2" s="8"/>
      <c r="E2" s="8"/>
      <c r="F2" s="8"/>
      <c r="G2" s="8"/>
      <c r="H2" s="8"/>
      <c r="I2" s="8"/>
      <c r="K2" s="9" t="s">
        <v>27</v>
      </c>
      <c r="L2" s="8"/>
      <c r="M2" s="8"/>
      <c r="N2" s="8"/>
      <c r="O2" s="8"/>
      <c r="P2" s="8"/>
      <c r="Q2" s="8"/>
      <c r="R2" s="8"/>
      <c r="S2" s="8"/>
    </row>
    <row r="3" spans="1:19" ht="18.5" thickBot="1" x14ac:dyDescent="0.6">
      <c r="A3" s="17"/>
      <c r="B3" s="18" t="s">
        <v>21</v>
      </c>
      <c r="C3" s="18"/>
      <c r="D3" s="19" t="s">
        <v>22</v>
      </c>
      <c r="E3" s="19"/>
      <c r="F3" s="19" t="s">
        <v>23</v>
      </c>
      <c r="G3" s="19"/>
      <c r="H3" s="19" t="s">
        <v>24</v>
      </c>
      <c r="I3" s="19"/>
      <c r="K3" s="8"/>
      <c r="L3" s="6" t="s">
        <v>21</v>
      </c>
      <c r="M3" s="6"/>
      <c r="N3" s="7" t="s">
        <v>22</v>
      </c>
      <c r="O3" s="7"/>
      <c r="P3" s="7" t="s">
        <v>23</v>
      </c>
      <c r="Q3" s="7"/>
      <c r="R3" s="7" t="s">
        <v>24</v>
      </c>
      <c r="S3" s="7"/>
    </row>
    <row r="4" spans="1:19" ht="19" thickTop="1" thickBot="1" x14ac:dyDescent="0.6">
      <c r="A4" s="16" t="s">
        <v>20</v>
      </c>
      <c r="B4" s="16" t="s">
        <v>0</v>
      </c>
      <c r="C4" s="16" t="s">
        <v>1</v>
      </c>
      <c r="D4" s="16" t="s">
        <v>0</v>
      </c>
      <c r="E4" s="16" t="s">
        <v>1</v>
      </c>
      <c r="F4" s="16" t="s">
        <v>0</v>
      </c>
      <c r="G4" s="16" t="s">
        <v>1</v>
      </c>
      <c r="H4" s="16" t="s">
        <v>25</v>
      </c>
      <c r="I4" s="16" t="s">
        <v>1</v>
      </c>
      <c r="K4" s="14"/>
      <c r="L4" s="15" t="s">
        <v>31</v>
      </c>
      <c r="M4" s="15" t="s">
        <v>42</v>
      </c>
      <c r="N4" s="15" t="s">
        <v>31</v>
      </c>
      <c r="O4" s="15" t="s">
        <v>43</v>
      </c>
      <c r="P4" s="15" t="s">
        <v>31</v>
      </c>
      <c r="Q4" s="15" t="s">
        <v>43</v>
      </c>
      <c r="R4" s="15" t="s">
        <v>31</v>
      </c>
      <c r="S4" s="15" t="s">
        <v>43</v>
      </c>
    </row>
    <row r="5" spans="1:19" ht="20" customHeight="1" x14ac:dyDescent="0.55000000000000004">
      <c r="A5" s="1" t="s">
        <v>2</v>
      </c>
      <c r="B5" s="2">
        <v>4.3099999999999996</v>
      </c>
      <c r="C5" s="2">
        <v>2.4</v>
      </c>
      <c r="D5" s="2">
        <v>4.66</v>
      </c>
      <c r="E5" s="2">
        <v>2.5</v>
      </c>
      <c r="F5" s="2">
        <v>5.09</v>
      </c>
      <c r="G5" s="2">
        <v>2.52</v>
      </c>
      <c r="H5" s="2">
        <v>4.83</v>
      </c>
      <c r="I5" s="2">
        <v>2.52</v>
      </c>
      <c r="K5" s="11" t="s">
        <v>28</v>
      </c>
      <c r="L5" s="2">
        <v>47</v>
      </c>
      <c r="M5">
        <f>L5/L9</f>
        <v>0.95918367346938771</v>
      </c>
      <c r="N5">
        <v>30</v>
      </c>
      <c r="O5">
        <f>N5/N9</f>
        <v>0.78947368421052633</v>
      </c>
      <c r="P5">
        <v>12</v>
      </c>
      <c r="Q5">
        <f>P5/P9</f>
        <v>0.375</v>
      </c>
      <c r="R5">
        <v>19</v>
      </c>
      <c r="S5">
        <f>R5/R9</f>
        <v>0.45238095238095238</v>
      </c>
    </row>
    <row r="6" spans="1:19" ht="20" customHeight="1" x14ac:dyDescent="0.55000000000000004">
      <c r="A6" s="1" t="s">
        <v>3</v>
      </c>
      <c r="B6" s="2">
        <v>4.0999999999999996</v>
      </c>
      <c r="C6" s="2">
        <v>2.57</v>
      </c>
      <c r="D6" s="2">
        <v>4.79</v>
      </c>
      <c r="E6" s="2">
        <v>2.5499999999999998</v>
      </c>
      <c r="F6" s="2">
        <v>4.84</v>
      </c>
      <c r="G6" s="2">
        <v>2.2999999999999998</v>
      </c>
      <c r="H6" s="2">
        <v>4.6900000000000004</v>
      </c>
      <c r="I6" s="2">
        <v>2.36</v>
      </c>
      <c r="K6" s="11" t="s">
        <v>33</v>
      </c>
      <c r="L6" s="2">
        <v>0</v>
      </c>
      <c r="M6">
        <f>L6/L9</f>
        <v>0</v>
      </c>
      <c r="N6">
        <v>3</v>
      </c>
      <c r="O6">
        <f>N6/N9</f>
        <v>7.8947368421052627E-2</v>
      </c>
      <c r="P6">
        <v>0</v>
      </c>
      <c r="Q6">
        <v>0</v>
      </c>
      <c r="R6">
        <v>2</v>
      </c>
      <c r="S6">
        <f>R6/R9</f>
        <v>4.7619047619047616E-2</v>
      </c>
    </row>
    <row r="7" spans="1:19" ht="20" customHeight="1" x14ac:dyDescent="0.55000000000000004">
      <c r="A7" s="1" t="s">
        <v>4</v>
      </c>
      <c r="B7" s="2">
        <v>3.14</v>
      </c>
      <c r="C7" s="2">
        <v>2.5299999999999998</v>
      </c>
      <c r="D7" s="2">
        <v>4.05</v>
      </c>
      <c r="E7" s="2">
        <v>2.4</v>
      </c>
      <c r="F7" s="2">
        <v>3.66</v>
      </c>
      <c r="G7" s="2">
        <v>2.86</v>
      </c>
      <c r="H7" s="2">
        <v>3.6</v>
      </c>
      <c r="I7" s="2">
        <v>2.5499999999999998</v>
      </c>
      <c r="K7" s="11" t="s">
        <v>29</v>
      </c>
      <c r="L7" s="2">
        <v>1</v>
      </c>
      <c r="M7">
        <f>L7/L9</f>
        <v>2.0408163265306121E-2</v>
      </c>
      <c r="N7">
        <v>3</v>
      </c>
      <c r="O7">
        <f>N7/N9</f>
        <v>7.8947368421052627E-2</v>
      </c>
      <c r="P7">
        <v>20</v>
      </c>
      <c r="Q7">
        <f>P7/P9</f>
        <v>0.625</v>
      </c>
      <c r="R7">
        <v>19</v>
      </c>
      <c r="S7">
        <f>R7/R9</f>
        <v>0.45238095238095238</v>
      </c>
    </row>
    <row r="8" spans="1:19" ht="20" customHeight="1" thickBot="1" x14ac:dyDescent="0.6">
      <c r="A8" s="1" t="s">
        <v>5</v>
      </c>
      <c r="B8" s="2">
        <v>1.78</v>
      </c>
      <c r="C8" s="2">
        <v>1.86</v>
      </c>
      <c r="D8" s="2">
        <v>2.37</v>
      </c>
      <c r="E8" s="2">
        <v>2.29</v>
      </c>
      <c r="F8" s="2">
        <v>2.2200000000000002</v>
      </c>
      <c r="G8" s="2">
        <v>2.3199999999999998</v>
      </c>
      <c r="H8" s="2">
        <v>2.21</v>
      </c>
      <c r="I8" s="2">
        <v>2.2799999999999998</v>
      </c>
      <c r="K8" s="12" t="s">
        <v>30</v>
      </c>
      <c r="L8" s="8">
        <v>1</v>
      </c>
      <c r="M8" s="8">
        <f>L8/L9</f>
        <v>2.0408163265306121E-2</v>
      </c>
      <c r="N8" s="8">
        <v>2</v>
      </c>
      <c r="O8" s="8">
        <f>N8/N9</f>
        <v>5.2631578947368418E-2</v>
      </c>
      <c r="P8" s="8">
        <v>0</v>
      </c>
      <c r="Q8" s="8">
        <v>0</v>
      </c>
      <c r="R8" s="8">
        <v>2</v>
      </c>
      <c r="S8" s="8">
        <f>R8/R9</f>
        <v>4.7619047619047616E-2</v>
      </c>
    </row>
    <row r="9" spans="1:19" ht="20" customHeight="1" thickBot="1" x14ac:dyDescent="0.6">
      <c r="A9" s="1" t="s">
        <v>6</v>
      </c>
      <c r="B9" s="2">
        <v>3.1</v>
      </c>
      <c r="C9" s="2">
        <v>1.96</v>
      </c>
      <c r="D9" s="2">
        <v>3.84</v>
      </c>
      <c r="E9" s="2">
        <v>2.2599999999999998</v>
      </c>
      <c r="F9" s="2">
        <v>3.53</v>
      </c>
      <c r="G9" s="2">
        <v>2.77</v>
      </c>
      <c r="H9" s="2">
        <v>3.43</v>
      </c>
      <c r="I9" s="2">
        <v>2.4900000000000002</v>
      </c>
      <c r="K9" s="13" t="s">
        <v>32</v>
      </c>
      <c r="L9" s="10">
        <v>49</v>
      </c>
      <c r="M9" s="10">
        <v>1</v>
      </c>
      <c r="N9" s="10">
        <v>38</v>
      </c>
      <c r="O9" s="10">
        <v>1</v>
      </c>
      <c r="P9" s="10">
        <v>32</v>
      </c>
      <c r="Q9" s="10">
        <v>1</v>
      </c>
      <c r="R9" s="10">
        <v>42</v>
      </c>
      <c r="S9" s="10">
        <v>1</v>
      </c>
    </row>
    <row r="10" spans="1:19" ht="20" customHeight="1" x14ac:dyDescent="0.55000000000000004">
      <c r="A10" s="1" t="s">
        <v>7</v>
      </c>
      <c r="B10" s="2">
        <v>3.33</v>
      </c>
      <c r="C10" s="2">
        <v>2.02</v>
      </c>
      <c r="D10" s="2">
        <v>4.08</v>
      </c>
      <c r="E10" s="2">
        <v>2.2799999999999998</v>
      </c>
      <c r="F10" s="2">
        <v>3.69</v>
      </c>
      <c r="G10" s="2">
        <v>2.72</v>
      </c>
      <c r="H10" s="2">
        <v>3.79</v>
      </c>
      <c r="I10" s="2">
        <v>2.23</v>
      </c>
    </row>
    <row r="11" spans="1:19" ht="20" customHeight="1" x14ac:dyDescent="0.55000000000000004">
      <c r="A11" s="1" t="s">
        <v>8</v>
      </c>
      <c r="B11" s="2">
        <v>3.94</v>
      </c>
      <c r="C11" s="2">
        <v>1.84</v>
      </c>
      <c r="D11" s="2">
        <v>4.6100000000000003</v>
      </c>
      <c r="E11" s="2">
        <v>2.41</v>
      </c>
      <c r="F11" s="2">
        <v>5.59</v>
      </c>
      <c r="G11" s="2">
        <v>2.64</v>
      </c>
      <c r="H11" s="2">
        <v>4.8099999999999996</v>
      </c>
      <c r="I11" s="2">
        <v>2.4900000000000002</v>
      </c>
    </row>
    <row r="12" spans="1:19" ht="20" customHeight="1" x14ac:dyDescent="0.55000000000000004">
      <c r="A12" s="1" t="s">
        <v>19</v>
      </c>
      <c r="B12" s="2">
        <v>1.78</v>
      </c>
      <c r="C12" s="2">
        <v>1.93</v>
      </c>
      <c r="D12" s="2">
        <v>2.66</v>
      </c>
      <c r="E12" s="2">
        <v>2.37</v>
      </c>
      <c r="F12" s="2">
        <v>2.25</v>
      </c>
      <c r="G12" s="2">
        <v>2.93</v>
      </c>
      <c r="H12" s="2">
        <v>2.02</v>
      </c>
      <c r="I12" s="2">
        <v>2.38</v>
      </c>
      <c r="L12" t="s">
        <v>35</v>
      </c>
      <c r="M12" t="s">
        <v>34</v>
      </c>
    </row>
    <row r="13" spans="1:19" ht="20" customHeight="1" x14ac:dyDescent="0.55000000000000004">
      <c r="A13" s="1" t="s">
        <v>37</v>
      </c>
      <c r="B13" s="2">
        <v>3.45</v>
      </c>
      <c r="C13" s="2">
        <v>2.21</v>
      </c>
      <c r="D13" s="2">
        <v>4.82</v>
      </c>
      <c r="E13" s="2">
        <v>2.71</v>
      </c>
      <c r="F13" s="2">
        <v>3.75</v>
      </c>
      <c r="G13" s="2">
        <v>2.94</v>
      </c>
      <c r="H13" s="2">
        <v>3.33</v>
      </c>
      <c r="I13" s="2">
        <v>2.4</v>
      </c>
      <c r="K13" t="s">
        <v>28</v>
      </c>
      <c r="L13" s="2">
        <f>L5/L9</f>
        <v>0.95918367346938771</v>
      </c>
      <c r="M13" s="2">
        <f>N5/N9</f>
        <v>0.78947368421052633</v>
      </c>
    </row>
    <row r="14" spans="1:19" ht="20" customHeight="1" x14ac:dyDescent="0.55000000000000004">
      <c r="A14" s="1" t="s">
        <v>9</v>
      </c>
      <c r="B14" s="2">
        <v>4.22</v>
      </c>
      <c r="C14" s="2">
        <v>2.27</v>
      </c>
      <c r="D14" s="2">
        <v>5.76</v>
      </c>
      <c r="E14" s="2">
        <v>2.21</v>
      </c>
      <c r="F14" s="2">
        <v>4.9400000000000004</v>
      </c>
      <c r="G14" s="2">
        <v>2.5</v>
      </c>
      <c r="H14" s="2">
        <v>4.76</v>
      </c>
      <c r="I14" s="2">
        <v>2.35</v>
      </c>
    </row>
    <row r="15" spans="1:19" ht="20" customHeight="1" x14ac:dyDescent="0.55000000000000004">
      <c r="A15" s="1" t="s">
        <v>10</v>
      </c>
      <c r="B15" s="2">
        <v>2.2200000000000002</v>
      </c>
      <c r="C15" s="2">
        <v>1.96</v>
      </c>
      <c r="D15" s="2">
        <v>3.61</v>
      </c>
      <c r="E15" s="2">
        <v>2.4900000000000002</v>
      </c>
      <c r="F15" s="2">
        <v>2.78</v>
      </c>
      <c r="G15" s="2">
        <v>2.42</v>
      </c>
      <c r="H15" s="2">
        <v>2.71</v>
      </c>
      <c r="I15" s="2">
        <v>2.39</v>
      </c>
    </row>
    <row r="16" spans="1:19" ht="20" customHeight="1" x14ac:dyDescent="0.55000000000000004">
      <c r="A16" s="1" t="s">
        <v>11</v>
      </c>
      <c r="B16" s="2">
        <v>3</v>
      </c>
      <c r="C16" s="2">
        <v>2.46</v>
      </c>
      <c r="D16" s="2">
        <v>4.24</v>
      </c>
      <c r="E16" s="2">
        <v>2.5</v>
      </c>
      <c r="F16" s="2">
        <v>3.59</v>
      </c>
      <c r="G16" s="2">
        <v>3.09</v>
      </c>
      <c r="H16" s="2">
        <v>3.33</v>
      </c>
      <c r="I16" s="2">
        <v>2.4</v>
      </c>
    </row>
    <row r="17" spans="1:13" ht="20" customHeight="1" x14ac:dyDescent="0.55000000000000004">
      <c r="A17" s="1" t="s">
        <v>12</v>
      </c>
      <c r="B17" s="2">
        <v>3.43</v>
      </c>
      <c r="C17" s="2">
        <v>2.38</v>
      </c>
      <c r="D17" s="2">
        <v>4.42</v>
      </c>
      <c r="E17" s="2">
        <v>2.23</v>
      </c>
      <c r="F17" s="2">
        <v>3.38</v>
      </c>
      <c r="G17" s="2">
        <v>2.5</v>
      </c>
      <c r="H17" s="2">
        <v>3.57</v>
      </c>
      <c r="I17" s="2">
        <v>2.35</v>
      </c>
    </row>
    <row r="18" spans="1:13" ht="20" customHeight="1" x14ac:dyDescent="0.55000000000000004">
      <c r="A18" s="1" t="s">
        <v>13</v>
      </c>
      <c r="B18" s="2">
        <v>3.24</v>
      </c>
      <c r="C18" s="2">
        <v>2.59</v>
      </c>
      <c r="D18" s="2">
        <v>3.97</v>
      </c>
      <c r="E18" s="2">
        <v>2.41</v>
      </c>
      <c r="F18" s="2">
        <v>3.44</v>
      </c>
      <c r="G18" s="2">
        <v>2.68</v>
      </c>
      <c r="H18" s="2">
        <v>3.55</v>
      </c>
      <c r="I18" s="2">
        <v>2.5</v>
      </c>
    </row>
    <row r="19" spans="1:13" ht="20" customHeight="1" x14ac:dyDescent="0.55000000000000004">
      <c r="A19" s="1" t="s">
        <v>14</v>
      </c>
      <c r="B19" s="2">
        <v>2.65</v>
      </c>
      <c r="C19" s="2">
        <v>2.2999999999999998</v>
      </c>
      <c r="D19" s="2">
        <v>3.89</v>
      </c>
      <c r="E19" s="2">
        <v>2.6</v>
      </c>
      <c r="F19" s="2">
        <v>3.63</v>
      </c>
      <c r="G19" s="2">
        <v>2.2799999999999998</v>
      </c>
      <c r="H19" s="2">
        <v>3.45</v>
      </c>
      <c r="I19" s="2">
        <v>2.11</v>
      </c>
    </row>
    <row r="20" spans="1:13" ht="20" customHeight="1" x14ac:dyDescent="0.55000000000000004">
      <c r="A20" s="1" t="s">
        <v>15</v>
      </c>
      <c r="B20" s="2">
        <v>3.08</v>
      </c>
      <c r="C20" s="2">
        <v>2.29</v>
      </c>
      <c r="D20" s="2">
        <v>4.34</v>
      </c>
      <c r="E20" s="2">
        <v>2.2799999999999998</v>
      </c>
      <c r="F20" s="2">
        <v>3.53</v>
      </c>
      <c r="G20" s="2">
        <v>2.75</v>
      </c>
      <c r="H20" s="2">
        <v>3.43</v>
      </c>
      <c r="I20" s="2">
        <v>2.69</v>
      </c>
    </row>
    <row r="21" spans="1:13" ht="20" customHeight="1" x14ac:dyDescent="0.55000000000000004">
      <c r="A21" s="1" t="s">
        <v>16</v>
      </c>
      <c r="B21" s="2">
        <v>3.86</v>
      </c>
      <c r="C21" s="2">
        <v>2.5499999999999998</v>
      </c>
      <c r="D21" s="2">
        <v>5.08</v>
      </c>
      <c r="E21" s="2">
        <v>2.23</v>
      </c>
      <c r="F21" s="2">
        <v>4.38</v>
      </c>
      <c r="G21" s="2">
        <v>2.87</v>
      </c>
      <c r="H21" s="2">
        <v>4.21</v>
      </c>
      <c r="I21" s="2">
        <v>2.12</v>
      </c>
    </row>
    <row r="22" spans="1:13" ht="20" customHeight="1" x14ac:dyDescent="0.55000000000000004">
      <c r="A22" s="1" t="s">
        <v>18</v>
      </c>
      <c r="B22" s="2">
        <v>1.82</v>
      </c>
      <c r="C22" s="2">
        <v>2.1</v>
      </c>
      <c r="D22" s="2">
        <v>3.05</v>
      </c>
      <c r="E22" s="2">
        <v>2.56</v>
      </c>
      <c r="F22" s="2">
        <v>2.66</v>
      </c>
      <c r="G22" s="2">
        <v>2.81</v>
      </c>
      <c r="H22" s="2">
        <v>2.19</v>
      </c>
      <c r="I22" s="2">
        <v>2.33</v>
      </c>
    </row>
    <row r="23" spans="1:13" ht="20" customHeight="1" thickBot="1" x14ac:dyDescent="0.6">
      <c r="A23" s="3" t="s">
        <v>17</v>
      </c>
      <c r="B23" s="4">
        <v>2.04</v>
      </c>
      <c r="C23" s="4">
        <v>2.2999999999999998</v>
      </c>
      <c r="D23" s="4">
        <v>3.47</v>
      </c>
      <c r="E23" s="4">
        <v>2.2999999999999998</v>
      </c>
      <c r="F23" s="4">
        <v>3.06</v>
      </c>
      <c r="G23" s="4">
        <v>2.14</v>
      </c>
      <c r="H23" s="4">
        <v>2.76</v>
      </c>
      <c r="I23" s="4">
        <v>2.36</v>
      </c>
    </row>
    <row r="24" spans="1:13" x14ac:dyDescent="0.55000000000000004">
      <c r="A24" s="5"/>
      <c r="B24" s="5"/>
      <c r="C24" s="5"/>
    </row>
    <row r="25" spans="1:13" x14ac:dyDescent="0.55000000000000004">
      <c r="B25" s="5"/>
      <c r="C25" s="5"/>
    </row>
    <row r="29" spans="1:13" x14ac:dyDescent="0.55000000000000004">
      <c r="L29" t="s">
        <v>35</v>
      </c>
      <c r="M29" t="s">
        <v>34</v>
      </c>
    </row>
    <row r="30" spans="1:13" x14ac:dyDescent="0.55000000000000004">
      <c r="K30" t="s">
        <v>36</v>
      </c>
      <c r="L30" s="2">
        <f>Q7</f>
        <v>0.625</v>
      </c>
      <c r="M30" s="2">
        <f>S6+S7+S8</f>
        <v>0.54761904761904767</v>
      </c>
    </row>
    <row r="31" spans="1:13" ht="30" customHeight="1" x14ac:dyDescent="0.55000000000000004"/>
    <row r="44" spans="12:13" x14ac:dyDescent="0.55000000000000004">
      <c r="L44" t="s">
        <v>38</v>
      </c>
      <c r="M44" t="s">
        <v>39</v>
      </c>
    </row>
    <row r="45" spans="12:13" x14ac:dyDescent="0.55000000000000004">
      <c r="L45" s="2">
        <v>4.2300000000000004</v>
      </c>
      <c r="M45" s="2">
        <v>5.15</v>
      </c>
    </row>
    <row r="54" spans="12:13" x14ac:dyDescent="0.55000000000000004">
      <c r="L54" t="s">
        <v>38</v>
      </c>
      <c r="M54" t="s">
        <v>39</v>
      </c>
    </row>
    <row r="55" spans="12:13" x14ac:dyDescent="0.55000000000000004">
      <c r="L55" s="2">
        <v>4.82</v>
      </c>
      <c r="M55" s="2">
        <v>3.33</v>
      </c>
    </row>
    <row r="59" spans="12:13" x14ac:dyDescent="0.55000000000000004">
      <c r="L59" t="s">
        <v>40</v>
      </c>
      <c r="M59" t="s">
        <v>41</v>
      </c>
    </row>
    <row r="60" spans="12:13" x14ac:dyDescent="0.55000000000000004">
      <c r="L60">
        <v>4.22</v>
      </c>
      <c r="M60">
        <v>5.76</v>
      </c>
    </row>
    <row r="62" spans="12:13" x14ac:dyDescent="0.55000000000000004">
      <c r="L62" t="s">
        <v>40</v>
      </c>
      <c r="M62" t="s">
        <v>41</v>
      </c>
    </row>
    <row r="63" spans="12:13" x14ac:dyDescent="0.55000000000000004">
      <c r="L63">
        <v>2.04</v>
      </c>
      <c r="M63">
        <v>3.47</v>
      </c>
    </row>
  </sheetData>
  <mergeCells count="8">
    <mergeCell ref="R3:S3"/>
    <mergeCell ref="L3:M3"/>
    <mergeCell ref="N3:O3"/>
    <mergeCell ref="P3:Q3"/>
    <mergeCell ref="H3:I3"/>
    <mergeCell ref="B3:C3"/>
    <mergeCell ref="D3:E3"/>
    <mergeCell ref="F3:G3"/>
  </mergeCells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西澤　奏都</dc:creator>
  <cp:lastModifiedBy>西澤　奏都</cp:lastModifiedBy>
  <cp:lastPrinted>2026-01-29T05:11:09Z</cp:lastPrinted>
  <dcterms:created xsi:type="dcterms:W3CDTF">2026-01-29T04:31:36Z</dcterms:created>
  <dcterms:modified xsi:type="dcterms:W3CDTF">2026-02-26T23:56:52Z</dcterms:modified>
</cp:coreProperties>
</file>